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\Desktop\sem4\robotics lab\PCB\"/>
    </mc:Choice>
  </mc:AlternateContent>
  <xr:revisionPtr revIDLastSave="0" documentId="13_ncr:1_{42AA8AC2-ACD2-4696-B204-F1C2741E8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B27" i="1"/>
</calcChain>
</file>

<file path=xl/sharedStrings.xml><?xml version="1.0" encoding="utf-8"?>
<sst xmlns="http://schemas.openxmlformats.org/spreadsheetml/2006/main" count="69" uniqueCount="54">
  <si>
    <t>Bill of Materials (BOM)</t>
  </si>
  <si>
    <t>Reference</t>
  </si>
  <si>
    <t>Qty</t>
  </si>
  <si>
    <t>Value</t>
  </si>
  <si>
    <t>C1</t>
  </si>
  <si>
    <t>100uF</t>
  </si>
  <si>
    <t>C2</t>
  </si>
  <si>
    <t>220uF</t>
  </si>
  <si>
    <t>C3, C4</t>
  </si>
  <si>
    <t>100nF</t>
  </si>
  <si>
    <t>C5</t>
  </si>
  <si>
    <t>10uF</t>
  </si>
  <si>
    <t>D1-D4</t>
  </si>
  <si>
    <t>LED</t>
  </si>
  <si>
    <t>1N4007</t>
  </si>
  <si>
    <t>D9</t>
  </si>
  <si>
    <t>1N5822</t>
  </si>
  <si>
    <t>J1</t>
  </si>
  <si>
    <t>PWR IN</t>
  </si>
  <si>
    <t>J2</t>
  </si>
  <si>
    <t>motor A</t>
  </si>
  <si>
    <t>J3</t>
  </si>
  <si>
    <t>motor B</t>
  </si>
  <si>
    <t>J4</t>
  </si>
  <si>
    <t>Conn_01x03_Pin</t>
  </si>
  <si>
    <t>J5</t>
  </si>
  <si>
    <t>Conn_01x04_Pin</t>
  </si>
  <si>
    <t>J6</t>
  </si>
  <si>
    <t>LED_OUT</t>
  </si>
  <si>
    <t>L1</t>
  </si>
  <si>
    <t>68uH</t>
  </si>
  <si>
    <t>R1, R2</t>
  </si>
  <si>
    <t>R3, R5</t>
  </si>
  <si>
    <t>R4</t>
  </si>
  <si>
    <t>U1</t>
  </si>
  <si>
    <t>ESP32-C3-DevKitM-1</t>
  </si>
  <si>
    <t>U2</t>
  </si>
  <si>
    <t>L298N</t>
  </si>
  <si>
    <t>U3</t>
  </si>
  <si>
    <t>LM2596S-5</t>
  </si>
  <si>
    <t>10k ohm</t>
  </si>
  <si>
    <t>20k ohm</t>
  </si>
  <si>
    <t>link</t>
  </si>
  <si>
    <t>Price</t>
  </si>
  <si>
    <t>supplier</t>
  </si>
  <si>
    <t>D5-D8, D10-D13</t>
  </si>
  <si>
    <t>J7</t>
  </si>
  <si>
    <t>Q1</t>
  </si>
  <si>
    <t>LED_IN</t>
  </si>
  <si>
    <t>2N2219</t>
  </si>
  <si>
    <t>R6</t>
  </si>
  <si>
    <t>1k ohm</t>
  </si>
  <si>
    <t>20 ohm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</si>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</sst>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7" x14ac:knownFonts="1">
    <font>
      <sz val="11"/>
      <color theme="1"/>
      <name val="Calibri"/>
      <family val="2"/>
      <scheme val="minor"/>
    </font>
    <font>
      <b/>
      <sz val="16"/>
      <color rgb="FF2C3E50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name val="Segoe UI"/>
    </font>
    <font>
      <u/>
      <sz val="11"/>
      <color theme="10"/>
      <name val="Calibri"/>
      <family val="2"/>
      <scheme val="minor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4" borderId="1" xfId="1" applyFill="1" applyBorder="1" applyAlignment="1">
      <alignment horizontal="left" vertical="center"/>
    </xf>
    <xf numFmtId="0" fontId="5" fillId="3" borderId="1" xfId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5" fillId="3" borderId="3" xfId="1" applyFill="1" applyBorder="1" applyAlignment="1">
      <alignment horizontal="left" vertical="center"/>
    </xf>
    <xf numFmtId="0" fontId="5" fillId="3" borderId="4" xfId="1" applyFill="1" applyBorder="1" applyAlignment="1">
      <alignment horizontal="left" vertical="center"/>
    </xf>
    <xf numFmtId="0" fontId="5" fillId="3" borderId="5" xfId="1" applyFill="1" applyBorder="1" applyAlignment="1">
      <alignment horizontal="left" vertical="center"/>
    </xf>
    <xf numFmtId="164" fontId="6" fillId="3" borderId="3" xfId="0" applyNumberFormat="1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horizontal="left" vertical="center"/>
    </xf>
    <xf numFmtId="164" fontId="3" fillId="3" borderId="5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left" vertical="center"/>
    </xf>
    <xf numFmtId="164" fontId="3" fillId="4" borderId="5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cbee.com/en/product-detail/elecbee-header-pins-2-54mm-pitch-1x4-pin-vertical-connector_94590" TargetMode="External"/><Relationship Id="rId13" Type="http://schemas.openxmlformats.org/officeDocument/2006/relationships/hyperlink" Target="https://www.temu.com/at-en/assortment-of-metal-film-resistors-1450pcs-ranging-from-1-ohm-to-1m-ohm-with-1-tolerance-and-1-4w--ideal-for-and-experiments-g-601099587723809.html?_oak_mp_inf=EKHEmrum1ogBGiBhYzUzZmU5YTZlMWE0YmM4YTFkMDE1YjU0NDVkMjg3YSCLjv3T7jM%3D&amp;top_gallery_url=https%3A%2F%2Fimg.kwcdn.com%2Fproduct%2Fopen%2F2024-06-04%2F1717490114550-6e87c4592ae9430ca69e2f9bf648cb69-goods.jpeg&amp;spec_gallery_id=5580&amp;refer_page_sn=10009&amp;freesia_scene=2&amp;_oak_freesia_scene=2&amp;_oak_rec_ext_1=MTMzMw&amp;_oak_gallery_order=604143924%2C182964974%2C1806715095%2C1395744893%2C2134368802&amp;search_key=resistors%20kit&amp;refer_page_el_sn=200049&amp;ab_scene=1&amp;enable_vqr=0&amp;_x_sessn_id=xjbil3cvsv&amp;refer_page_name=search_result&amp;refer_page_id=10009_1782050670972_885mh79avt" TargetMode="External"/><Relationship Id="rId3" Type="http://schemas.openxmlformats.org/officeDocument/2006/relationships/hyperlink" Target="https://www.temu.com/at-en/10-specifications-of-100pcs-of-1n4001-1n4002-1n4003-1n4004-1n4006-1n4007-1n5817-1n5818-1n5819---diode-box-set-g-601100091673377.html?_oak_mp_inf=EKGWwauo1ogBGiA5MDVmNzNlMWM4ZWE0MGM2YTg4MGZlZjcyYTY4MmFkNCCe%2FZjS7jM%3D&amp;top_gallery_url=https%3A%2F%2Fimg.kwcdn.com%2Fproduct%2Falgo_check%2Fauto%2F1b886fc0f809e78894b7baa64b6233671741076243600.jpg&amp;spec_gallery_id=70079&amp;refer_page_sn=10009&amp;freesia_scene=2&amp;_oak_freesia_scene=2&amp;_oak_rec_ext_1=MjY4&amp;_oak_gallery_order=1571383929%2C1505576676%2C1161380059%2C326771932%2C506933724&amp;search_key=schottky%20diode&amp;refer_page_el_sn=200049&amp;ab_scene=1&amp;enable_vqr=0&amp;_x_sessn_id=xjbil3cvsv&amp;refer_page_name=search_result&amp;refer_page_id=10009_1782046933165_3kia70hb16" TargetMode="External"/><Relationship Id="rId7" Type="http://schemas.openxmlformats.org/officeDocument/2006/relationships/hyperlink" Target="https://www.elecbee.com/en/product-detail/elecbee-pin-header-2-54mm-pitch-1x3-pin-horizontal-insert-square-pins_104902" TargetMode="External"/><Relationship Id="rId12" Type="http://schemas.openxmlformats.org/officeDocument/2006/relationships/hyperlink" Target="https://shop.mepatronik.de/en/2N4033-TO39-TRANSISTOR-PNP-THT-CDIL/1004933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reichelt.at/at/de/shop/produkt/led_5_mm_bedrahtet_kaltweiss_12000_mcd_15_-61103" TargetMode="External"/><Relationship Id="rId16" Type="http://schemas.openxmlformats.org/officeDocument/2006/relationships/hyperlink" Target="https://www.conrad.at/de/p/texas-instruments-lm2596s-5-0-nopb-pmic-spannungsregler-linear-ldo-tube-2993695.html?utm_source=google-shopping-de&amp;utm_medium=search&amp;utm_campaign=shopping-online-de&amp;utm_content=shopping-ad_cpc&amp;WT.srch=1" TargetMode="External"/><Relationship Id="rId1" Type="http://schemas.openxmlformats.org/officeDocument/2006/relationships/hyperlink" Target="https://www.temu.com/at-en/500pcs-electrolytic-capacitor--sizes-0-1uf-1000uf-10v-50v-with-durable-plastic-organizer-g-601103016290387.html?_oak_mp_inf=ENPQiZ6z1ogBGiBiNjI0ZDZiMTE1NmQ0NTUwOGY2ODc1MTExM2U3ZGEwMyDH%2BNnR7jM%3D&amp;top_gallery_url=https%3A%2F%2Fimg.kwcdn.com%2Fproduct%2Ffancy%2Fa1b9b745-40cf-40fe-b91e-483d6086f1b0.jpg&amp;spec_gallery_id=425623&amp;refer_page_sn=10009&amp;freesia_scene=2&amp;_oak_freesia_scene=2&amp;_oak_rec_ext_1=MTAwMQ&amp;_oak_gallery_order=1695589070%2C1018563247%2C609780287%2C1129205130%2C1435660652&amp;search_key=Capacitor_THT%3ACP_Radial_D8.0mm_P3.50mm&amp;refer_page_el_sn=200049&amp;_x_sessn_id=wlda9hean4&amp;refer_page_name=search_result&amp;refer_page_id=10009_1782045900612_ahgauibal1" TargetMode="External"/><Relationship Id="rId6" Type="http://schemas.openxmlformats.org/officeDocument/2006/relationships/hyperlink" Target="https://www.tandmore.de/Installation/Phoenix-Contact/Phoenix-Contact-1836189-MC-1-5-2-G-5-08-Grundleiste::586661.html" TargetMode="External"/><Relationship Id="rId11" Type="http://schemas.openxmlformats.org/officeDocument/2006/relationships/hyperlink" Target="https://www.mouser.at/ProductDetail/Vishay-Dale/IHD1EB680L?qs=sGAEpiMZZMv126LJFLh8y0CqhS2%252BSZx5j5feVmNc194%3D" TargetMode="External"/><Relationship Id="rId5" Type="http://schemas.openxmlformats.org/officeDocument/2006/relationships/hyperlink" Target="https://www.tandmore.de/Installation/Phoenix-Contact/Phoenix-Contact-1836189-MC-1-5-2-G-5-08-Grundleiste::586661.html" TargetMode="External"/><Relationship Id="rId15" Type="http://schemas.openxmlformats.org/officeDocument/2006/relationships/hyperlink" Target="https://de.aliexpress.com/item/1005006982852358.html?spm=a2g0o.productlist.main.1.87385e92qSiCX3&amp;algo_pvid=d70dec6a-df76-42f8-992f-558ac992201b&amp;algo_exp_id=d70dec6a-df76-42f8-992f-558ac992201b-0&amp;pdp_ext_f=%7B%22order%22%3A%223597%22%2C%22eval%22%3A%221%22%2C%22orig_sl_item_id%22%3A%221005006982852358%22%2C%22orig_item_id%22%3A%221005006208083845%22%2C%22fromPage%22%3A%22search%22%7D&amp;pdp_npi=6%40dis%21EUR%213.17%211.58%21%21%2124.07%2112.04%21%402103867617820509140708932e6702%2112000058276938051%21sea%21AT%210%21ABX%211%210%21n_tag%3A-29910%3Bd%3A101e9e49%3Bm03_new_user%3A-29895&amp;curPageLogUid=UNHrf7qSVaWf&amp;utparam-url=scene%3Asearch%7Cquery_from%3A%7Cx_object_id%3A1005006982852358%7C_p_origin_prod%3A1005006208083845" TargetMode="External"/><Relationship Id="rId10" Type="http://schemas.openxmlformats.org/officeDocument/2006/relationships/hyperlink" Target="https://www.jakelectronics.com/productdetail/molex-0022289080-6432744" TargetMode="External"/><Relationship Id="rId4" Type="http://schemas.openxmlformats.org/officeDocument/2006/relationships/hyperlink" Target="https://www.temu.com/at-en/5pairs-connector-plug-12v---adapter-connector-male-to-female-for-tv-camera-single-color-led-strips-g-601102122899231.html?_oak_mp_inf=EJ%2BuifSv1ogBGiAyZGE4ZjRlODdjZjg0NjgwODc4NzZjNTRiZTIxOGVlNSDalJ%2FS7jM%3D&amp;top_gallery_url=https%3A%2F%2Fimg.kwcdn.com%2Fproduct%2Ffancy%2Ff4ba13f1-d332-40a6-b501-5237075da1e7.jpg&amp;spec_gallery_id=601102122899231&amp;refer_page_sn=10009&amp;freesia_scene=2&amp;_oak_freesia_scene=2&amp;_oak_rec_ext_1=MzA2&amp;_oak_gallery_order=376811577%2C1908444447%2C1479730462%2C98471702%2C34416788&amp;search_key=barrel%20jack%20connector&amp;refer_page_el_sn=200049&amp;ab_scene=1&amp;enable_vqr=0&amp;_x_sessn_id=xjbil3cvsv&amp;refer_page_name=search_result&amp;refer_page_id=10009_1782047034431_vg052rfmfh" TargetMode="External"/><Relationship Id="rId9" Type="http://schemas.openxmlformats.org/officeDocument/2006/relationships/hyperlink" Target="https://www.jakelectronics.com/productdetail/molex-0022289080-6432744" TargetMode="External"/><Relationship Id="rId14" Type="http://schemas.openxmlformats.org/officeDocument/2006/relationships/hyperlink" Target="https://www.temu.com/at-en/1pc-type-c-esp32-c3-development-board-esp32--development-board-esp32-development-board-g-605563341633079.html?_oak_mp_inf=ELfs956b2IkBGiBkODIxNzUxODkyNzI0YzIwYjcyZTViODA0ZDIzM2M3YiC6wobU7jM%3D&amp;top_gallery_url=https%3A%2F%2Fimg.kwcdn.com%2Fproduct%2Falgo_framework%2FImageCm2InAlgo%2F449c3092-450b-11f1-9ee5-0a580aae0449.jpg&amp;spec_gallery_id=39352329820&amp;refer_page_sn=10009&amp;freesia_scene=2&amp;_oak_freesia_scene=2&amp;_oak_rec_ext_1=Mjgw&amp;_oak_gallery_order=1636351162%2C1469420290%2C1086439333%2C1236186694%2C2002275905&amp;search_key=RF_Module%3AESP32-C3-DevKitM-1&amp;refer_page_el_sn=200049&amp;ab_scene=1&amp;enable_vqr=0&amp;refer_page_name=search_result&amp;refer_page_id=10009_1782050670972_885mh79avt&amp;_x_sessn_id=xjbil3cv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topLeftCell="A5" workbookViewId="0">
      <selection activeCell="E29" sqref="E29"/>
    </sheetView>
  </sheetViews>
  <sheetFormatPr defaultRowHeight="15" x14ac:dyDescent="0.25"/>
  <cols>
    <col min="1" max="1" width="20" customWidth="1"/>
    <col min="2" max="2" width="16" customWidth="1"/>
    <col min="3" max="4" width="22" customWidth="1"/>
    <col min="5" max="5" width="46" customWidth="1"/>
  </cols>
  <sheetData>
    <row r="1" spans="1:5" ht="30" customHeight="1" x14ac:dyDescent="0.5">
      <c r="A1" s="11" t="s">
        <v>0</v>
      </c>
      <c r="B1" s="12"/>
      <c r="C1" s="12"/>
      <c r="D1" s="12"/>
      <c r="E1" s="12"/>
    </row>
    <row r="3" spans="1:5" ht="24" customHeight="1" x14ac:dyDescent="0.25">
      <c r="A3" s="1" t="s">
        <v>1</v>
      </c>
      <c r="B3" s="2" t="s">
        <v>2</v>
      </c>
      <c r="C3" s="1" t="s">
        <v>3</v>
      </c>
      <c r="D3" s="1" t="s">
        <v>43</v>
      </c>
      <c r="E3" s="1" t="s">
        <v>44</v>
      </c>
    </row>
    <row r="4" spans="1:5" ht="20.100000000000001" customHeight="1" x14ac:dyDescent="0.25">
      <c r="A4" s="3" t="s">
        <v>4</v>
      </c>
      <c r="B4" s="4">
        <v>1</v>
      </c>
      <c r="C4" s="3" t="s">
        <v>5</v>
      </c>
      <c r="D4" s="16">
        <v>10</v>
      </c>
      <c r="E4" s="13" t="s">
        <v>42</v>
      </c>
    </row>
    <row r="5" spans="1:5" ht="20.100000000000001" customHeight="1" x14ac:dyDescent="0.25">
      <c r="A5" s="5" t="s">
        <v>6</v>
      </c>
      <c r="B5" s="6">
        <v>1</v>
      </c>
      <c r="C5" s="5" t="s">
        <v>7</v>
      </c>
      <c r="D5" s="17"/>
      <c r="E5" s="14"/>
    </row>
    <row r="6" spans="1:5" ht="20.100000000000001" customHeight="1" x14ac:dyDescent="0.25">
      <c r="A6" s="3" t="s">
        <v>8</v>
      </c>
      <c r="B6" s="4">
        <v>2</v>
      </c>
      <c r="C6" s="3" t="s">
        <v>9</v>
      </c>
      <c r="D6" s="17"/>
      <c r="E6" s="14"/>
    </row>
    <row r="7" spans="1:5" ht="20.100000000000001" customHeight="1" x14ac:dyDescent="0.25">
      <c r="A7" s="5" t="s">
        <v>10</v>
      </c>
      <c r="B7" s="6">
        <v>1</v>
      </c>
      <c r="C7" s="5" t="s">
        <v>11</v>
      </c>
      <c r="D7" s="18"/>
      <c r="E7" s="15"/>
    </row>
    <row r="8" spans="1:5" ht="20.100000000000001" customHeight="1" x14ac:dyDescent="0.25">
      <c r="A8" s="3" t="s">
        <v>12</v>
      </c>
      <c r="B8" s="4">
        <v>4</v>
      </c>
      <c r="C8" s="3" t="s">
        <v>13</v>
      </c>
      <c r="D8" s="19">
        <v>0.45</v>
      </c>
      <c r="E8" s="10" t="s">
        <v>42</v>
      </c>
    </row>
    <row r="9" spans="1:5" ht="20.100000000000001" customHeight="1" x14ac:dyDescent="0.25">
      <c r="A9" s="5" t="s">
        <v>45</v>
      </c>
      <c r="B9" s="6">
        <v>8</v>
      </c>
      <c r="C9" s="5" t="s">
        <v>14</v>
      </c>
      <c r="D9" s="20">
        <v>2.68</v>
      </c>
      <c r="E9" s="13" t="s">
        <v>42</v>
      </c>
    </row>
    <row r="10" spans="1:5" ht="20.100000000000001" customHeight="1" x14ac:dyDescent="0.25">
      <c r="A10" s="3" t="s">
        <v>15</v>
      </c>
      <c r="B10" s="4">
        <v>1</v>
      </c>
      <c r="C10" s="3" t="s">
        <v>16</v>
      </c>
      <c r="D10" s="21"/>
      <c r="E10" s="15"/>
    </row>
    <row r="11" spans="1:5" ht="20.100000000000001" customHeight="1" x14ac:dyDescent="0.25">
      <c r="A11" s="5" t="s">
        <v>17</v>
      </c>
      <c r="B11" s="6">
        <v>1</v>
      </c>
      <c r="C11" s="5" t="s">
        <v>18</v>
      </c>
      <c r="D11" s="22">
        <v>3.06</v>
      </c>
      <c r="E11" s="10" t="s">
        <v>42</v>
      </c>
    </row>
    <row r="12" spans="1:5" ht="20.100000000000001" customHeight="1" x14ac:dyDescent="0.25">
      <c r="A12" s="3" t="s">
        <v>19</v>
      </c>
      <c r="B12" s="4">
        <v>1</v>
      </c>
      <c r="C12" s="3" t="s">
        <v>20</v>
      </c>
      <c r="D12" s="19">
        <v>0.6</v>
      </c>
      <c r="E12" s="10" t="s">
        <v>42</v>
      </c>
    </row>
    <row r="13" spans="1:5" ht="20.100000000000001" customHeight="1" x14ac:dyDescent="0.25">
      <c r="A13" s="5" t="s">
        <v>21</v>
      </c>
      <c r="B13" s="6">
        <v>1</v>
      </c>
      <c r="C13" s="5" t="s">
        <v>22</v>
      </c>
      <c r="D13" s="19">
        <v>0.6</v>
      </c>
      <c r="E13" s="10" t="s">
        <v>42</v>
      </c>
    </row>
    <row r="14" spans="1:5" ht="20.100000000000001" customHeight="1" x14ac:dyDescent="0.25">
      <c r="A14" s="3" t="s">
        <v>23</v>
      </c>
      <c r="B14" s="4">
        <v>1</v>
      </c>
      <c r="C14" s="3" t="s">
        <v>24</v>
      </c>
      <c r="D14" s="19">
        <v>0.59</v>
      </c>
      <c r="E14" s="10" t="s">
        <v>42</v>
      </c>
    </row>
    <row r="15" spans="1:5" ht="20.100000000000001" customHeight="1" x14ac:dyDescent="0.25">
      <c r="A15" s="5" t="s">
        <v>25</v>
      </c>
      <c r="B15" s="6">
        <v>1</v>
      </c>
      <c r="C15" s="5" t="s">
        <v>26</v>
      </c>
      <c r="D15" s="22">
        <v>13.24</v>
      </c>
      <c r="E15" s="10" t="s">
        <v>42</v>
      </c>
    </row>
    <row r="16" spans="1:5" ht="20.100000000000001" customHeight="1" x14ac:dyDescent="0.25">
      <c r="A16" s="3" t="s">
        <v>27</v>
      </c>
      <c r="B16" s="4">
        <v>1</v>
      </c>
      <c r="C16" s="3" t="s">
        <v>28</v>
      </c>
      <c r="D16" s="19">
        <v>0.43</v>
      </c>
      <c r="E16" s="10" t="s">
        <v>42</v>
      </c>
    </row>
    <row r="17" spans="1:15" ht="20.100000000000001" customHeight="1" x14ac:dyDescent="0.25">
      <c r="A17" s="3" t="s">
        <v>46</v>
      </c>
      <c r="B17" s="4">
        <v>1</v>
      </c>
      <c r="C17" s="3" t="s">
        <v>48</v>
      </c>
      <c r="D17" s="19">
        <v>0.43</v>
      </c>
      <c r="E17" s="10" t="s">
        <v>42</v>
      </c>
    </row>
    <row r="18" spans="1:15" ht="20.100000000000001" customHeight="1" x14ac:dyDescent="0.25">
      <c r="A18" s="5" t="s">
        <v>29</v>
      </c>
      <c r="B18" s="6">
        <v>1</v>
      </c>
      <c r="C18" s="5" t="s">
        <v>30</v>
      </c>
      <c r="D18" s="22">
        <v>5.96</v>
      </c>
      <c r="E18" s="10" t="s">
        <v>42</v>
      </c>
    </row>
    <row r="19" spans="1:15" ht="20.100000000000001" customHeight="1" x14ac:dyDescent="0.25">
      <c r="A19" s="5" t="s">
        <v>47</v>
      </c>
      <c r="B19" s="6">
        <v>1</v>
      </c>
      <c r="C19" s="5" t="s">
        <v>49</v>
      </c>
      <c r="D19" s="22">
        <v>6</v>
      </c>
      <c r="E19" s="10" t="s">
        <v>42</v>
      </c>
    </row>
    <row r="20" spans="1:15" ht="20.100000000000001" customHeight="1" x14ac:dyDescent="0.25">
      <c r="A20" s="3" t="s">
        <v>31</v>
      </c>
      <c r="B20" s="4">
        <v>2</v>
      </c>
      <c r="C20" s="3" t="s">
        <v>52</v>
      </c>
      <c r="D20" s="23">
        <v>13.33</v>
      </c>
      <c r="E20" s="13" t="s">
        <v>42</v>
      </c>
    </row>
    <row r="21" spans="1:15" ht="20.100000000000001" customHeight="1" x14ac:dyDescent="0.25">
      <c r="A21" s="5" t="s">
        <v>32</v>
      </c>
      <c r="B21" s="6">
        <v>2</v>
      </c>
      <c r="C21" s="5" t="s">
        <v>40</v>
      </c>
      <c r="D21" s="17"/>
      <c r="E21" s="14"/>
    </row>
    <row r="22" spans="1:15" ht="20.100000000000001" customHeight="1" x14ac:dyDescent="0.25">
      <c r="A22" s="3" t="s">
        <v>33</v>
      </c>
      <c r="B22" s="4">
        <v>1</v>
      </c>
      <c r="C22" s="3" t="s">
        <v>41</v>
      </c>
      <c r="D22" s="17"/>
      <c r="E22" s="14"/>
    </row>
    <row r="23" spans="1:15" ht="20.100000000000001" customHeight="1" x14ac:dyDescent="0.25">
      <c r="A23" s="3" t="s">
        <v>50</v>
      </c>
      <c r="B23" s="4">
        <v>1</v>
      </c>
      <c r="C23" s="3" t="s">
        <v>51</v>
      </c>
      <c r="D23" s="18"/>
      <c r="E23" s="15"/>
    </row>
    <row r="24" spans="1:15" ht="20.100000000000001" customHeight="1" x14ac:dyDescent="0.25">
      <c r="A24" s="5" t="s">
        <v>34</v>
      </c>
      <c r="B24" s="6">
        <v>1</v>
      </c>
      <c r="C24" s="5" t="s">
        <v>35</v>
      </c>
      <c r="D24" s="22">
        <v>2.8</v>
      </c>
      <c r="E24" s="10" t="s">
        <v>42</v>
      </c>
      <c r="G24" s="9"/>
      <c r="I24" s="9"/>
      <c r="K24" s="9"/>
      <c r="M24" s="9"/>
      <c r="O24" s="9"/>
    </row>
    <row r="25" spans="1:15" ht="20.100000000000001" customHeight="1" x14ac:dyDescent="0.25">
      <c r="A25" s="3" t="s">
        <v>36</v>
      </c>
      <c r="B25" s="4">
        <v>1</v>
      </c>
      <c r="C25" s="3" t="s">
        <v>37</v>
      </c>
      <c r="D25" s="19">
        <v>1.1299999999999999</v>
      </c>
      <c r="E25" s="10" t="s">
        <v>42</v>
      </c>
    </row>
    <row r="26" spans="1:15" ht="20.100000000000001" customHeight="1" x14ac:dyDescent="0.25">
      <c r="A26" s="5" t="s">
        <v>38</v>
      </c>
      <c r="B26" s="6">
        <v>1</v>
      </c>
      <c r="C26" s="5" t="s">
        <v>39</v>
      </c>
      <c r="D26" s="22">
        <v>2.33</v>
      </c>
      <c r="E26" s="10" t="s">
        <v>42</v>
      </c>
    </row>
    <row r="27" spans="1:15" ht="21.95" customHeight="1" x14ac:dyDescent="0.25">
      <c r="A27" s="7" t="s">
        <v>53</v>
      </c>
      <c r="B27" s="8">
        <f>SUM(B4:B26)</f>
        <v>36</v>
      </c>
      <c r="D27" s="24">
        <f>SUM(D4:D26)</f>
        <v>63.629999999999995</v>
      </c>
    </row>
  </sheetData>
  <mergeCells count="7">
    <mergeCell ref="A1:E1"/>
    <mergeCell ref="D4:D7"/>
    <mergeCell ref="D9:D10"/>
    <mergeCell ref="E20:E23"/>
    <mergeCell ref="E9:E10"/>
    <mergeCell ref="E4:E7"/>
    <mergeCell ref="D20:D23"/>
  </mergeCells>
  <hyperlinks>
    <hyperlink ref="E4" r:id="rId1" display="https://www.temu.com/at-en/500pcs-electrolytic-capacitor--sizes-0-1uf-1000uf-10v-50v-with-durable-plastic-organizer-g-601103016290387.html?_oak_mp_inf=ENPQiZ6z1ogBGiBiNjI0ZDZiMTE1NmQ0NTUwOGY2ODc1MTExM2U3ZGEwMyDH%2BNnR7jM%3D&amp;top_gallery_url=https%3A%2F%2Fimg.kwcdn.com%2Fproduct%2Ffancy%2Fa1b9b745-40cf-40fe-b91e-483d6086f1b0.jpg&amp;spec_gallery_id=425623&amp;refer_page_sn=10009&amp;freesia_scene=2&amp;_oak_freesia_scene=2&amp;_oak_rec_ext_1=MTAwMQ&amp;_oak_gallery_order=1695589070%2C1018563247%2C609780287%2C1129205130%2C1435660652&amp;search_key=Capacitor_THT%3ACP_Radial_D8.0mm_P3.50mm&amp;refer_page_el_sn=200049&amp;_x_sessn_id=wlda9hean4&amp;refer_page_name=search_result&amp;refer_page_id=10009_1782045900612_ahgauibal1" xr:uid="{95E6440B-467F-473A-9449-902146F078ED}"/>
    <hyperlink ref="E8" r:id="rId2" display="https://www.reichelt.at/at/de/shop/produkt/led_5_mm_bedrahtet_kaltweiss_12000_mcd_15_-61103" xr:uid="{A174EFD7-B48E-4A12-A429-8FE36189BA51}"/>
    <hyperlink ref="E9" r:id="rId3" display="https://www.temu.com/at-en/10-specifications-of-100pcs-of-1n4001-1n4002-1n4003-1n4004-1n4006-1n4007-1n5817-1n5818-1n5819---diode-box-set-g-601100091673377.html?_oak_mp_inf=EKGWwauo1ogBGiA5MDVmNzNlMWM4ZWE0MGM2YTg4MGZlZjcyYTY4MmFkNCCe%2FZjS7jM%3D&amp;top_gallery_url=https%3A%2F%2Fimg.kwcdn.com%2Fproduct%2Falgo_check%2Fauto%2F1b886fc0f809e78894b7baa64b6233671741076243600.jpg&amp;spec_gallery_id=70079&amp;refer_page_sn=10009&amp;freesia_scene=2&amp;_oak_freesia_scene=2&amp;_oak_rec_ext_1=MjY4&amp;_oak_gallery_order=1571383929%2C1505576676%2C1161380059%2C326771932%2C506933724&amp;search_key=schottky%20diode&amp;refer_page_el_sn=200049&amp;ab_scene=1&amp;enable_vqr=0&amp;_x_sessn_id=xjbil3cvsv&amp;refer_page_name=search_result&amp;refer_page_id=10009_1782046933165_3kia70hb16" xr:uid="{00C9699B-4935-42C6-8E54-9D23B1B9AC0F}"/>
    <hyperlink ref="E11" r:id="rId4" display="https://www.temu.com/at-en/5pairs-connector-plug-12v---adapter-connector-male-to-female-for-tv-camera-single-color-led-strips-g-601102122899231.html?_oak_mp_inf=EJ%2BuifSv1ogBGiAyZGE4ZjRlODdjZjg0NjgwODc4NzZjNTRiZTIxOGVlNSDalJ%2FS7jM%3D&amp;top_gallery_url=https%3A%2F%2Fimg.kwcdn.com%2Fproduct%2Ffancy%2Ff4ba13f1-d332-40a6-b501-5237075da1e7.jpg&amp;spec_gallery_id=601102122899231&amp;refer_page_sn=10009&amp;freesia_scene=2&amp;_oak_freesia_scene=2&amp;_oak_rec_ext_1=MzA2&amp;_oak_gallery_order=376811577%2C1908444447%2C1479730462%2C98471702%2C34416788&amp;search_key=barrel%20jack%20connector&amp;refer_page_el_sn=200049&amp;ab_scene=1&amp;enable_vqr=0&amp;_x_sessn_id=xjbil3cvsv&amp;refer_page_name=search_result&amp;refer_page_id=10009_1782047034431_vg052rfmfh" xr:uid="{B909D128-4B7C-4E38-BB9F-AB0DE6D35F1D}"/>
    <hyperlink ref="E12" r:id="rId5" display="https://www.tandmore.de/Installation/Phoenix-Contact/Phoenix-Contact-1836189-MC-1-5-2-G-5-08-Grundleiste::586661.html" xr:uid="{74C28659-48B9-424A-B8B0-6FF27988630F}"/>
    <hyperlink ref="E13" r:id="rId6" display="https://www.tandmore.de/Installation/Phoenix-Contact/Phoenix-Contact-1836189-MC-1-5-2-G-5-08-Grundleiste::586661.html" xr:uid="{370D79B5-B2C8-4058-BDCC-963B0AA84E70}"/>
    <hyperlink ref="E14" r:id="rId7" display="https://www.elecbee.com/en/product-detail/elecbee-pin-header-2-54mm-pitch-1x3-pin-horizontal-insert-square-pins_104902" xr:uid="{03D96906-2900-4EC2-BCC1-FEEA9B45ADA2}"/>
    <hyperlink ref="E15" r:id="rId8" display="https://www.elecbee.com/en/product-detail/elecbee-header-pins-2-54mm-pitch-1x4-pin-vertical-connector_94590" xr:uid="{4B2CC8DB-2008-429A-95F8-4C32055F3D4A}"/>
    <hyperlink ref="E16" r:id="rId9" display="https://www.jakelectronics.com/productdetail/molex-0022289080-6432744" xr:uid="{D2FD2560-9687-41CD-9CB1-8754B9201BC4}"/>
    <hyperlink ref="E17" r:id="rId10" display="https://www.jakelectronics.com/productdetail/molex-0022289080-6432744" xr:uid="{BEE42C3B-3C51-4849-B1B6-DC758E4D0109}"/>
    <hyperlink ref="E18" r:id="rId11" display="https://www.mouser.at/ProductDetail/Vishay-Dale/IHD1EB680L?qs=sGAEpiMZZMv126LJFLh8y0CqhS2%252BSZx5j5feVmNc194%3D" xr:uid="{2C299B73-0074-4932-8C83-6642081E3A97}"/>
    <hyperlink ref="E19" r:id="rId12" display="https://shop.mepatronik.de/en/2N4033-TO39-TRANSISTOR-PNP-THT-CDIL/1004933" xr:uid="{5A0A01CB-CACC-4334-8ACB-79A4B0831720}"/>
    <hyperlink ref="E20:E23" r:id="rId13" display="https://www.temu.com/at-en/assortment-of-metal-film-resistors-1450pcs-ranging-from-1-ohm-to-1m-ohm-with-1-tolerance-and-1-4w--ideal-for-and-experiments-g-601099587723809.html?_oak_mp_inf=EKHEmrum1ogBGiBhYzUzZmU5YTZlMWE0YmM4YTFkMDE1YjU0NDVkMjg3YSCLjv3T7jM%3D&amp;top_gallery_url=https%3A%2F%2Fimg.kwcdn.com%2Fproduct%2Fopen%2F2024-06-04%2F1717490114550-6e87c4592ae9430ca69e2f9bf648cb69-goods.jpeg&amp;spec_gallery_id=5580&amp;refer_page_sn=10009&amp;freesia_scene=2&amp;_oak_freesia_scene=2&amp;_oak_rec_ext_1=MTMzMw&amp;_oak_gallery_order=604143924%2C182964974%2C1806715095%2C1395744893%2C2134368802&amp;search_key=resistors%20kit&amp;refer_page_el_sn=200049&amp;ab_scene=1&amp;enable_vqr=0&amp;_x_sessn_id=xjbil3cvsv&amp;refer_page_name=search_result&amp;refer_page_id=10009_1782050670972_885mh79avt" xr:uid="{942CB008-51A6-4DF3-9B7B-A41CBB975BF2}"/>
    <hyperlink ref="E24" r:id="rId14" display="https://www.temu.com/at-en/1pc-type-c-esp32-c3-development-board-esp32--development-board-esp32-development-board-g-605563341633079.html?_oak_mp_inf=ELfs956b2IkBGiBkODIxNzUxODkyNzI0YzIwYjcyZTViODA0ZDIzM2M3YiC6wobU7jM%3D&amp;top_gallery_url=https%3A%2F%2Fimg.kwcdn.com%2Fproduct%2Falgo_framework%2FImageCm2InAlgo%2F449c3092-450b-11f1-9ee5-0a580aae0449.jpg&amp;spec_gallery_id=39352329820&amp;refer_page_sn=10009&amp;freesia_scene=2&amp;_oak_freesia_scene=2&amp;_oak_rec_ext_1=Mjgw&amp;_oak_gallery_order=1636351162%2C1469420290%2C1086439333%2C1236186694%2C2002275905&amp;search_key=RF_Module%3AESP32-C3-DevKitM-1&amp;refer_page_el_sn=200049&amp;ab_scene=1&amp;enable_vqr=0&amp;refer_page_name=search_result&amp;refer_page_id=10009_1782050670972_885mh79avt&amp;_x_sessn_id=xjbil3cvsv" xr:uid="{B17A4FD6-63B5-4E0E-83A9-DB511FD7EEC3}"/>
    <hyperlink ref="E25" r:id="rId15" display="https://de.aliexpress.com/item/1005006982852358.html?spm=a2g0o.productlist.main.1.87385e92qSiCX3&amp;algo_pvid=d70dec6a-df76-42f8-992f-558ac992201b&amp;algo_exp_id=d70dec6a-df76-42f8-992f-558ac992201b-0&amp;pdp_ext_f=%7B%22order%22%3A%223597%22%2C%22eval%22%3A%221%22%2C%22orig_sl_item_id%22%3A%221005006982852358%22%2C%22orig_item_id%22%3A%221005006208083845%22%2C%22fromPage%22%3A%22search%22%7D&amp;pdp_npi=6%40dis%21EUR%213.17%211.58%21%21%2124.07%2112.04%21%402103867617820509140708932e6702%2112000058276938051%21sea%21AT%210%21ABX%211%210%21n_tag%3A-29910%3Bd%3A101e9e49%3Bm03_new_user%3A-29895&amp;curPageLogUid=UNHrf7qSVaWf&amp;utparam-url=scene%3Asearch%7Cquery_from%3A%7Cx_object_id%3A1005006982852358%7C_p_origin_prod%3A1005006208083845" xr:uid="{920EA077-C18E-4B6B-A5C4-A66597220067}"/>
    <hyperlink ref="E26" r:id="rId16" display="https://www.conrad.at/de/p/texas-instruments-lm2596s-5-0-nopb-pmic-spannungsregler-linear-ldo-tube-2993695.html?utm_source=google-shopping-de&amp;utm_medium=search&amp;utm_campaign=shopping-online-de&amp;utm_content=shopping-ad_cpc&amp;WT.srch=1" xr:uid="{5EAFB518-7074-42BF-8EC3-0B092A1A4EFD}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Lotf, Hanane</cp:lastModifiedBy>
  <dcterms:created xsi:type="dcterms:W3CDTF">2026-06-17T15:46:27Z</dcterms:created>
  <dcterms:modified xsi:type="dcterms:W3CDTF">2026-06-21T14:17:35Z</dcterms:modified>
</cp:coreProperties>
</file>